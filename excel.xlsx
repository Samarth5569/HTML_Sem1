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9\Documents\"/>
    </mc:Choice>
  </mc:AlternateContent>
  <bookViews>
    <workbookView xWindow="0" yWindow="0" windowWidth="28800" windowHeight="13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<sst xmlns="http://schemas.openxmlformats.org/spreadsheetml/2006/main" count="53" uniqueCount="37">
  <si>
    <t>Sr No</t>
  </si>
  <si>
    <t>PRN</t>
  </si>
  <si>
    <t>Name</t>
  </si>
  <si>
    <t>Maths</t>
  </si>
  <si>
    <t>IKS</t>
  </si>
  <si>
    <t>Nano CS</t>
  </si>
  <si>
    <t>Aptitude / Reasoning</t>
  </si>
  <si>
    <t>Optional Subject</t>
  </si>
  <si>
    <t>Total</t>
  </si>
  <si>
    <t>Result</t>
  </si>
  <si>
    <t>Distinction</t>
  </si>
  <si>
    <t>Aman Kumar</t>
  </si>
  <si>
    <t>Bhavna Patel</t>
  </si>
  <si>
    <t>Chirag Mehta</t>
  </si>
  <si>
    <t>Deepa Singh</t>
  </si>
  <si>
    <t>Esha Joshi</t>
  </si>
  <si>
    <t>Farhan Ali</t>
  </si>
  <si>
    <t>Geeta Reddy</t>
  </si>
  <si>
    <t>Harish Kumar</t>
  </si>
  <si>
    <t>Indira Sharma</t>
  </si>
  <si>
    <t>Jayant Desai</t>
  </si>
  <si>
    <t>Kavita Nair</t>
  </si>
  <si>
    <t>Lalit Verma</t>
  </si>
  <si>
    <t>Meera Iyer</t>
  </si>
  <si>
    <t>Nikhil Rao</t>
  </si>
  <si>
    <t>Ojaswini Sen</t>
  </si>
  <si>
    <t>Priya Das</t>
  </si>
  <si>
    <t>Rahul Gupta</t>
  </si>
  <si>
    <t>Sneha Kulkarni</t>
  </si>
  <si>
    <t>Tarun Bhatia</t>
  </si>
  <si>
    <t>Usha Menon</t>
  </si>
  <si>
    <t>A</t>
  </si>
  <si>
    <t>B</t>
  </si>
  <si>
    <t>C</t>
  </si>
  <si>
    <t>D</t>
  </si>
  <si>
    <t>percentage</t>
  </si>
  <si>
    <t>result2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</si>
</sst>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zoomScaleNormal="100" workbookViewId="0">
      <selection activeCell="M1" sqref="M1"/>
    </sheetView>
  </sheetViews>
  <sheetFormatPr defaultRowHeight="15" x14ac:dyDescent="0.25"/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</v>
      </c>
      <c r="K1" s="1" t="s">
        <v>9</v>
      </c>
      <c r="L1" s="1" t="s">
        <v>10</v>
      </c>
      <c r="M1" s="1" t="s">
        <v>36</v>
      </c>
    </row>
    <row r="2" spans="1:13" ht="30" x14ac:dyDescent="0.25">
      <c r="A2" s="2">
        <v>1</v>
      </c>
      <c r="B2" s="2">
        <v>2001</v>
      </c>
      <c r="C2" s="2" t="s">
        <v>11</v>
      </c>
      <c r="D2" s="2">
        <v>85</v>
      </c>
      <c r="E2" s="2">
        <v>78</v>
      </c>
      <c r="F2" s="2">
        <v>92</v>
      </c>
      <c r="G2" s="2">
        <v>74</v>
      </c>
      <c r="H2" s="2" t="s">
        <v>31</v>
      </c>
      <c r="I2" s="2">
        <f>SUM(D2:G2)</f>
        <v>329</v>
      </c>
      <c r="J2" s="2">
        <f>AVERAGE(D2:G2)</f>
        <v>82.25</v>
      </c>
      <c r="K2" s="2" t="str">
        <f>IF( AND(D2&gt;=35, E2&gt;=35, F2&gt;=35, G2&gt;=35), "Pass", "Fail" )</f>
        <v>Pass</v>
      </c>
      <c r="L2" s="2" t="str">
        <f>IF(I2 &gt;= 75, "distinction", "No distinction")</f>
        <v>distinction</v>
      </c>
    </row>
    <row r="3" spans="1:13" ht="30" x14ac:dyDescent="0.25">
      <c r="A3" s="2">
        <v>2</v>
      </c>
      <c r="B3" s="2">
        <v>2002</v>
      </c>
      <c r="C3" s="2" t="s">
        <v>12</v>
      </c>
      <c r="D3" s="2">
        <v>67</v>
      </c>
      <c r="E3" s="2">
        <v>72</v>
      </c>
      <c r="F3" s="2">
        <v>80</v>
      </c>
      <c r="G3" s="2">
        <v>69</v>
      </c>
      <c r="H3" s="2" t="s">
        <v>32</v>
      </c>
      <c r="I3" s="2">
        <f t="shared" ref="I3:I21" si="0">SUM(D3:G3)</f>
        <v>288</v>
      </c>
      <c r="J3" s="2">
        <f t="shared" ref="J3:J21" si="1">AVERAGE(D3:G3)</f>
        <v>72</v>
      </c>
      <c r="K3" s="2" t="str">
        <f t="shared" ref="K3:K21" si="2">IF( AND(D3&gt;=35, E3&gt;=35, F3&gt;=35, G3&gt;=35), "Pass", "Fail" )</f>
        <v>Pass</v>
      </c>
      <c r="L3" s="2" t="str">
        <f t="shared" ref="L3:L21" si="3">IF(I3 &gt;= 75, "distinction", "No distinction")</f>
        <v>distinction</v>
      </c>
    </row>
    <row r="4" spans="1:13" ht="30" x14ac:dyDescent="0.25">
      <c r="A4" s="2">
        <v>3</v>
      </c>
      <c r="B4" s="2">
        <v>2003</v>
      </c>
      <c r="C4" s="2" t="s">
        <v>13</v>
      </c>
      <c r="D4" s="2">
        <v>90</v>
      </c>
      <c r="E4" s="2">
        <v>86</v>
      </c>
      <c r="F4" s="2">
        <v>88</v>
      </c>
      <c r="G4" s="2">
        <v>82</v>
      </c>
      <c r="H4" s="2" t="s">
        <v>33</v>
      </c>
      <c r="I4" s="2">
        <f t="shared" si="0"/>
        <v>346</v>
      </c>
      <c r="J4" s="2">
        <f t="shared" si="1"/>
        <v>86.5</v>
      </c>
      <c r="K4" s="2" t="str">
        <f t="shared" si="2"/>
        <v>Pass</v>
      </c>
      <c r="L4" s="2" t="str">
        <f t="shared" si="3"/>
        <v>distinction</v>
      </c>
    </row>
    <row r="5" spans="1:13" ht="30" x14ac:dyDescent="0.25">
      <c r="A5" s="2">
        <v>4</v>
      </c>
      <c r="B5" s="2">
        <v>2004</v>
      </c>
      <c r="C5" s="2" t="s">
        <v>14</v>
      </c>
      <c r="D5" s="2">
        <v>76</v>
      </c>
      <c r="E5" s="2">
        <v>81</v>
      </c>
      <c r="F5" s="2">
        <v>79</v>
      </c>
      <c r="G5" s="2">
        <v>70</v>
      </c>
      <c r="H5" s="2" t="s">
        <v>34</v>
      </c>
      <c r="I5" s="2">
        <f t="shared" si="0"/>
        <v>306</v>
      </c>
      <c r="J5" s="2">
        <f t="shared" si="1"/>
        <v>76.5</v>
      </c>
      <c r="K5" s="2" t="str">
        <f t="shared" si="2"/>
        <v>Pass</v>
      </c>
      <c r="L5" s="2" t="str">
        <f t="shared" si="3"/>
        <v>distinction</v>
      </c>
    </row>
    <row r="6" spans="1:13" ht="30" x14ac:dyDescent="0.25">
      <c r="A6" s="2">
        <v>5</v>
      </c>
      <c r="B6" s="2">
        <v>2005</v>
      </c>
      <c r="C6" s="2" t="s">
        <v>15</v>
      </c>
      <c r="D6" s="2">
        <v>93</v>
      </c>
      <c r="E6" s="2">
        <v>88</v>
      </c>
      <c r="F6" s="2">
        <v>95</v>
      </c>
      <c r="G6" s="2">
        <v>90</v>
      </c>
      <c r="H6" s="2" t="s">
        <v>31</v>
      </c>
      <c r="I6" s="2">
        <f t="shared" si="0"/>
        <v>366</v>
      </c>
      <c r="J6" s="2">
        <f t="shared" si="1"/>
        <v>91.5</v>
      </c>
      <c r="K6" s="2" t="str">
        <f t="shared" si="2"/>
        <v>Pass</v>
      </c>
      <c r="L6" s="2" t="str">
        <f t="shared" si="3"/>
        <v>distinction</v>
      </c>
    </row>
    <row r="7" spans="1:13" ht="30" x14ac:dyDescent="0.25">
      <c r="A7" s="2">
        <v>6</v>
      </c>
      <c r="B7" s="2">
        <v>2006</v>
      </c>
      <c r="C7" s="2" t="s">
        <v>16</v>
      </c>
      <c r="D7" s="2">
        <v>59</v>
      </c>
      <c r="E7" s="2">
        <v>65</v>
      </c>
      <c r="F7" s="2">
        <v>70</v>
      </c>
      <c r="G7" s="2">
        <v>62</v>
      </c>
      <c r="H7" s="2" t="s">
        <v>31</v>
      </c>
      <c r="I7" s="2">
        <f t="shared" si="0"/>
        <v>256</v>
      </c>
      <c r="J7" s="2">
        <f t="shared" si="1"/>
        <v>64</v>
      </c>
      <c r="K7" s="2" t="str">
        <f t="shared" si="2"/>
        <v>Pass</v>
      </c>
      <c r="L7" s="2" t="str">
        <f t="shared" si="3"/>
        <v>distinction</v>
      </c>
    </row>
    <row r="8" spans="1:13" ht="30" x14ac:dyDescent="0.25">
      <c r="A8" s="2">
        <v>7</v>
      </c>
      <c r="B8" s="2">
        <v>2007</v>
      </c>
      <c r="C8" s="2" t="s">
        <v>17</v>
      </c>
      <c r="D8" s="2">
        <v>82</v>
      </c>
      <c r="E8" s="2">
        <v>77</v>
      </c>
      <c r="F8" s="2">
        <v>84</v>
      </c>
      <c r="G8" s="2">
        <v>75</v>
      </c>
      <c r="H8" s="2" t="s">
        <v>32</v>
      </c>
      <c r="I8" s="2">
        <f t="shared" si="0"/>
        <v>318</v>
      </c>
      <c r="J8" s="2">
        <f t="shared" si="1"/>
        <v>79.5</v>
      </c>
      <c r="K8" s="2" t="str">
        <f t="shared" si="2"/>
        <v>Pass</v>
      </c>
      <c r="L8" s="2" t="str">
        <f t="shared" si="3"/>
        <v>distinction</v>
      </c>
    </row>
    <row r="9" spans="1:13" ht="30" x14ac:dyDescent="0.25">
      <c r="A9" s="2">
        <v>8</v>
      </c>
      <c r="B9" s="2">
        <v>2008</v>
      </c>
      <c r="C9" s="2" t="s">
        <v>18</v>
      </c>
      <c r="D9" s="2">
        <v>88</v>
      </c>
      <c r="E9" s="2">
        <v>83</v>
      </c>
      <c r="F9" s="2">
        <v>90</v>
      </c>
      <c r="G9" s="2">
        <v>85</v>
      </c>
      <c r="H9" s="2" t="s">
        <v>33</v>
      </c>
      <c r="I9" s="2">
        <f t="shared" si="0"/>
        <v>346</v>
      </c>
      <c r="J9" s="2">
        <f t="shared" si="1"/>
        <v>86.5</v>
      </c>
      <c r="K9" s="2" t="str">
        <f t="shared" si="2"/>
        <v>Pass</v>
      </c>
      <c r="L9" s="2" t="str">
        <f t="shared" si="3"/>
        <v>distinction</v>
      </c>
    </row>
    <row r="10" spans="1:13" ht="30" x14ac:dyDescent="0.25">
      <c r="A10" s="2">
        <v>9</v>
      </c>
      <c r="B10" s="2">
        <v>2009</v>
      </c>
      <c r="C10" s="2" t="s">
        <v>19</v>
      </c>
      <c r="D10" s="2">
        <v>71</v>
      </c>
      <c r="E10" s="2">
        <v>68</v>
      </c>
      <c r="F10" s="2">
        <v>73</v>
      </c>
      <c r="G10" s="2">
        <v>66</v>
      </c>
      <c r="H10" s="2" t="s">
        <v>34</v>
      </c>
      <c r="I10" s="2">
        <f t="shared" si="0"/>
        <v>278</v>
      </c>
      <c r="J10" s="2">
        <f t="shared" si="1"/>
        <v>69.5</v>
      </c>
      <c r="K10" s="2" t="str">
        <f t="shared" si="2"/>
        <v>Pass</v>
      </c>
      <c r="L10" s="2" t="str">
        <f t="shared" si="3"/>
        <v>distinction</v>
      </c>
    </row>
    <row r="11" spans="1:13" ht="30" x14ac:dyDescent="0.25">
      <c r="A11" s="2">
        <v>10</v>
      </c>
      <c r="B11" s="2">
        <v>2010</v>
      </c>
      <c r="C11" s="2" t="s">
        <v>20</v>
      </c>
      <c r="D11" s="2">
        <v>95</v>
      </c>
      <c r="E11" s="2">
        <v>92</v>
      </c>
      <c r="F11" s="2">
        <v>94</v>
      </c>
      <c r="G11" s="2">
        <v>91</v>
      </c>
      <c r="H11" s="2" t="s">
        <v>31</v>
      </c>
      <c r="I11" s="2">
        <f t="shared" si="0"/>
        <v>372</v>
      </c>
      <c r="J11" s="2">
        <f t="shared" si="1"/>
        <v>93</v>
      </c>
      <c r="K11" s="2" t="str">
        <f t="shared" si="2"/>
        <v>Pass</v>
      </c>
      <c r="L11" s="2" t="str">
        <f t="shared" si="3"/>
        <v>distinction</v>
      </c>
    </row>
    <row r="12" spans="1:13" ht="30" x14ac:dyDescent="0.25">
      <c r="A12" s="2">
        <v>11</v>
      </c>
      <c r="B12" s="2">
        <v>2011</v>
      </c>
      <c r="C12" s="2" t="s">
        <v>21</v>
      </c>
      <c r="D12" s="2">
        <v>79</v>
      </c>
      <c r="E12" s="2">
        <v>74</v>
      </c>
      <c r="F12" s="2">
        <v>81</v>
      </c>
      <c r="G12" s="2">
        <v>77</v>
      </c>
      <c r="H12" s="2" t="s">
        <v>31</v>
      </c>
      <c r="I12" s="2">
        <f t="shared" si="0"/>
        <v>311</v>
      </c>
      <c r="J12" s="2">
        <f t="shared" si="1"/>
        <v>77.75</v>
      </c>
      <c r="K12" s="2" t="str">
        <f t="shared" si="2"/>
        <v>Pass</v>
      </c>
      <c r="L12" s="2" t="str">
        <f t="shared" si="3"/>
        <v>distinction</v>
      </c>
    </row>
    <row r="13" spans="1:13" ht="30" x14ac:dyDescent="0.25">
      <c r="A13" s="2">
        <v>12</v>
      </c>
      <c r="B13" s="2">
        <v>2012</v>
      </c>
      <c r="C13" s="2" t="s">
        <v>22</v>
      </c>
      <c r="D13" s="2">
        <v>64</v>
      </c>
      <c r="E13" s="2">
        <v>60</v>
      </c>
      <c r="F13" s="2">
        <v>68</v>
      </c>
      <c r="G13" s="2">
        <v>63</v>
      </c>
      <c r="H13" s="2" t="s">
        <v>32</v>
      </c>
      <c r="I13" s="2">
        <f t="shared" si="0"/>
        <v>255</v>
      </c>
      <c r="J13" s="2">
        <f t="shared" si="1"/>
        <v>63.75</v>
      </c>
      <c r="K13" s="2" t="str">
        <f t="shared" si="2"/>
        <v>Pass</v>
      </c>
      <c r="L13" s="2" t="str">
        <f t="shared" si="3"/>
        <v>distinction</v>
      </c>
    </row>
    <row r="14" spans="1:13" ht="30" x14ac:dyDescent="0.25">
      <c r="A14" s="2">
        <v>13</v>
      </c>
      <c r="B14" s="2">
        <v>2013</v>
      </c>
      <c r="C14" s="2" t="s">
        <v>23</v>
      </c>
      <c r="D14" s="2">
        <v>89</v>
      </c>
      <c r="E14" s="2">
        <v>85</v>
      </c>
      <c r="F14" s="2">
        <v>87</v>
      </c>
      <c r="G14" s="2">
        <v>80</v>
      </c>
      <c r="H14" s="2" t="s">
        <v>33</v>
      </c>
      <c r="I14" s="2">
        <f t="shared" si="0"/>
        <v>341</v>
      </c>
      <c r="J14" s="2">
        <f t="shared" si="1"/>
        <v>85.25</v>
      </c>
      <c r="K14" s="2" t="str">
        <f t="shared" si="2"/>
        <v>Pass</v>
      </c>
      <c r="L14" s="2" t="str">
        <f t="shared" si="3"/>
        <v>distinction</v>
      </c>
    </row>
    <row r="15" spans="1:13" ht="30" x14ac:dyDescent="0.25">
      <c r="A15" s="2">
        <v>14</v>
      </c>
      <c r="B15" s="2">
        <v>2014</v>
      </c>
      <c r="C15" s="2" t="s">
        <v>24</v>
      </c>
      <c r="D15" s="2">
        <v>73</v>
      </c>
      <c r="E15" s="2">
        <v>70</v>
      </c>
      <c r="F15" s="2">
        <v>75</v>
      </c>
      <c r="G15" s="2">
        <v>68</v>
      </c>
      <c r="H15" s="2" t="s">
        <v>34</v>
      </c>
      <c r="I15" s="2">
        <f t="shared" si="0"/>
        <v>286</v>
      </c>
      <c r="J15" s="2">
        <f t="shared" si="1"/>
        <v>71.5</v>
      </c>
      <c r="K15" s="2" t="str">
        <f t="shared" si="2"/>
        <v>Pass</v>
      </c>
      <c r="L15" s="2" t="str">
        <f t="shared" si="3"/>
        <v>distinction</v>
      </c>
    </row>
    <row r="16" spans="1:13" ht="30" x14ac:dyDescent="0.25">
      <c r="A16" s="2">
        <v>15</v>
      </c>
      <c r="B16" s="2">
        <v>2015</v>
      </c>
      <c r="C16" s="2" t="s">
        <v>25</v>
      </c>
      <c r="D16" s="2">
        <v>91</v>
      </c>
      <c r="E16" s="2">
        <v>88</v>
      </c>
      <c r="F16" s="2">
        <v>93</v>
      </c>
      <c r="G16" s="2">
        <v>86</v>
      </c>
      <c r="H16" s="2" t="s">
        <v>31</v>
      </c>
      <c r="I16" s="2">
        <f t="shared" si="0"/>
        <v>358</v>
      </c>
      <c r="J16" s="2">
        <f t="shared" si="1"/>
        <v>89.5</v>
      </c>
      <c r="K16" s="2" t="str">
        <f t="shared" si="2"/>
        <v>Pass</v>
      </c>
      <c r="L16" s="2" t="str">
        <f t="shared" si="3"/>
        <v>distinction</v>
      </c>
    </row>
    <row r="17" spans="1:12" ht="30" x14ac:dyDescent="0.25">
      <c r="A17" s="2">
        <v>16</v>
      </c>
      <c r="B17" s="2">
        <v>2016</v>
      </c>
      <c r="C17" s="2" t="s">
        <v>26</v>
      </c>
      <c r="D17" s="2">
        <v>66</v>
      </c>
      <c r="E17" s="2">
        <v>62</v>
      </c>
      <c r="F17" s="2">
        <v>71</v>
      </c>
      <c r="G17" s="2">
        <v>65</v>
      </c>
      <c r="H17" s="2" t="s">
        <v>31</v>
      </c>
      <c r="I17" s="2">
        <f t="shared" si="0"/>
        <v>264</v>
      </c>
      <c r="J17" s="2">
        <f t="shared" si="1"/>
        <v>66</v>
      </c>
      <c r="K17" s="2" t="str">
        <f t="shared" si="2"/>
        <v>Pass</v>
      </c>
      <c r="L17" s="2" t="str">
        <f t="shared" si="3"/>
        <v>distinction</v>
      </c>
    </row>
    <row r="18" spans="1:12" ht="30" x14ac:dyDescent="0.25">
      <c r="A18" s="2">
        <v>17</v>
      </c>
      <c r="B18" s="2">
        <v>2017</v>
      </c>
      <c r="C18" s="2" t="s">
        <v>27</v>
      </c>
      <c r="D18" s="2">
        <v>84</v>
      </c>
      <c r="E18" s="2">
        <v>80</v>
      </c>
      <c r="F18" s="2">
        <v>86</v>
      </c>
      <c r="G18" s="2">
        <v>79</v>
      </c>
      <c r="H18" s="2" t="s">
        <v>32</v>
      </c>
      <c r="I18" s="2">
        <f t="shared" si="0"/>
        <v>329</v>
      </c>
      <c r="J18" s="2">
        <f t="shared" si="1"/>
        <v>82.25</v>
      </c>
      <c r="K18" s="2" t="str">
        <f t="shared" si="2"/>
        <v>Pass</v>
      </c>
      <c r="L18" s="2" t="str">
        <f t="shared" si="3"/>
        <v>distinction</v>
      </c>
    </row>
    <row r="19" spans="1:12" ht="30" x14ac:dyDescent="0.25">
      <c r="A19" s="2">
        <v>18</v>
      </c>
      <c r="B19" s="2">
        <v>2018</v>
      </c>
      <c r="C19" s="2" t="s">
        <v>28</v>
      </c>
      <c r="D19" s="2">
        <v>77</v>
      </c>
      <c r="E19" s="2">
        <v>73</v>
      </c>
      <c r="F19" s="2">
        <v>78</v>
      </c>
      <c r="G19" s="2">
        <v>72</v>
      </c>
      <c r="H19" s="2" t="s">
        <v>33</v>
      </c>
      <c r="I19" s="2">
        <f t="shared" si="0"/>
        <v>300</v>
      </c>
      <c r="J19" s="2">
        <f t="shared" si="1"/>
        <v>75</v>
      </c>
      <c r="K19" s="2" t="str">
        <f t="shared" si="2"/>
        <v>Pass</v>
      </c>
      <c r="L19" s="2" t="str">
        <f t="shared" si="3"/>
        <v>distinction</v>
      </c>
    </row>
    <row r="20" spans="1:12" ht="30" x14ac:dyDescent="0.25">
      <c r="A20" s="2">
        <v>19</v>
      </c>
      <c r="B20" s="2">
        <v>2019</v>
      </c>
      <c r="C20" s="2" t="s">
        <v>29</v>
      </c>
      <c r="D20" s="2">
        <v>92</v>
      </c>
      <c r="E20" s="2">
        <v>89</v>
      </c>
      <c r="F20" s="2">
        <v>90</v>
      </c>
      <c r="G20" s="2">
        <v>88</v>
      </c>
      <c r="H20" s="2" t="s">
        <v>34</v>
      </c>
      <c r="I20" s="2">
        <f t="shared" si="0"/>
        <v>359</v>
      </c>
      <c r="J20" s="2">
        <f t="shared" si="1"/>
        <v>89.75</v>
      </c>
      <c r="K20" s="2" t="str">
        <f t="shared" si="2"/>
        <v>Pass</v>
      </c>
      <c r="L20" s="2" t="str">
        <f t="shared" si="3"/>
        <v>distinction</v>
      </c>
    </row>
    <row r="21" spans="1:12" ht="30" x14ac:dyDescent="0.25">
      <c r="A21" s="2">
        <v>20</v>
      </c>
      <c r="B21" s="2">
        <v>2020</v>
      </c>
      <c r="C21" s="2" t="s">
        <v>30</v>
      </c>
      <c r="D21" s="2">
        <v>68</v>
      </c>
      <c r="E21" s="2">
        <v>64</v>
      </c>
      <c r="F21" s="2">
        <v>69</v>
      </c>
      <c r="G21" s="2">
        <v>67</v>
      </c>
      <c r="H21" s="2" t="s">
        <v>31</v>
      </c>
      <c r="I21" s="2">
        <f t="shared" si="0"/>
        <v>268</v>
      </c>
      <c r="J21" s="2">
        <f t="shared" si="1"/>
        <v>67</v>
      </c>
      <c r="K21" s="2" t="str">
        <f t="shared" si="2"/>
        <v>Pass</v>
      </c>
      <c r="L21" s="2" t="str">
        <f t="shared" si="3"/>
        <v>distinction</v>
      </c>
    </row>
    <row r="22" spans="1:12" x14ac:dyDescent="0.25">
      <c r="H22" s="2"/>
      <c r="J22" s="2"/>
      <c r="K22" s="2"/>
    </row>
    <row r="23" spans="1:12" x14ac:dyDescent="0.25">
      <c r="H23" s="2"/>
      <c r="J23" s="2"/>
    </row>
    <row r="24" spans="1:12" x14ac:dyDescent="0.25">
      <c r="H24" s="2"/>
      <c r="J24" s="2"/>
    </row>
    <row r="25" spans="1:12" x14ac:dyDescent="0.25">
      <c r="J25" s="2"/>
    </row>
    <row r="26" spans="1:12" x14ac:dyDescent="0.25">
      <c r="J26" s="2"/>
    </row>
    <row r="27" spans="1:12" x14ac:dyDescent="0.25">
      <c r="J27" s="2"/>
    </row>
    <row r="28" spans="1:12" x14ac:dyDescent="0.25">
      <c r="J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LAB6</dc:creator>
  <cp:lastModifiedBy>SIT NGP.LAB9</cp:lastModifiedBy>
  <dcterms:created xsi:type="dcterms:W3CDTF">2025-10-08T03:49:32Z</dcterms:created>
  <dcterms:modified xsi:type="dcterms:W3CDTF">2025-11-13T04:28:01Z</dcterms:modified>
</cp:coreProperties>
</file>